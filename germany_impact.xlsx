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ke\OneDrive\Documents\Penn MCIT\CIS_545_Big_Data_Analytics\CIS545-group-project\"/>
    </mc:Choice>
  </mc:AlternateContent>
  <xr:revisionPtr revIDLastSave="0" documentId="13_ncr:9_{AE78C1E1-7134-4F2A-A916-DB1A27451C1D}" xr6:coauthVersionLast="47" xr6:coauthVersionMax="47" xr10:uidLastSave="{00000000-0000-0000-0000-000000000000}"/>
  <bookViews>
    <workbookView xWindow="-2190" yWindow="645" windowWidth="26670" windowHeight="14835" xr2:uid="{0BA3319F-50D7-427F-94DA-9C9195BAA5F2}"/>
  </bookViews>
  <sheets>
    <sheet name="germany_impact" sheetId="1" r:id="rId1"/>
  </sheets>
  <calcPr calcId="0"/>
</workbook>
</file>

<file path=xl/calcChain.xml><?xml version="1.0" encoding="utf-8"?>
<calcChain xmlns="http://schemas.openxmlformats.org/spreadsheetml/2006/main">
  <c r="R23" i="1" l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</calcChain>
</file>

<file path=xl/sharedStrings.xml><?xml version="1.0" encoding="utf-8"?>
<sst xmlns="http://schemas.openxmlformats.org/spreadsheetml/2006/main" count="24" uniqueCount="19">
  <si>
    <t>cum.response</t>
  </si>
  <si>
    <t>point.pred</t>
  </si>
  <si>
    <t>point.pred.lower</t>
  </si>
  <si>
    <t>point.pred.upper</t>
  </si>
  <si>
    <t>cum.pred</t>
  </si>
  <si>
    <t>cum.pred.lower</t>
  </si>
  <si>
    <t>cum.pred.upper</t>
  </si>
  <si>
    <t>point.effect</t>
  </si>
  <si>
    <t>point.effect.lower</t>
  </si>
  <si>
    <t>point.effect.upper</t>
  </si>
  <si>
    <t>cum.effect</t>
  </si>
  <si>
    <t>cum.effect.lower</t>
  </si>
  <si>
    <t>cum.effect.upper</t>
  </si>
  <si>
    <t>NA</t>
  </si>
  <si>
    <t>year</t>
  </si>
  <si>
    <t>response (actual)</t>
  </si>
  <si>
    <t>intervention</t>
  </si>
  <si>
    <t>Absolute Error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</si>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</sst>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E394-3077-422F-B3B8-08084E103BF7}">
  <dimension ref="A1:R29"/>
  <sheetViews>
    <sheetView tabSelected="1" workbookViewId="0">
      <selection activeCell="Q1" sqref="Q1:R29"/>
    </sheetView>
  </sheetViews>
  <sheetFormatPr defaultRowHeight="15" x14ac:dyDescent="0.25"/>
  <cols>
    <col min="3" max="3" width="13.7109375" bestFit="1" customWidth="1"/>
    <col min="4" max="4" width="12" bestFit="1" customWidth="1"/>
    <col min="5" max="5" width="15.7109375" bestFit="1" customWidth="1"/>
    <col min="6" max="6" width="16" bestFit="1" customWidth="1"/>
    <col min="7" max="7" width="12" bestFit="1" customWidth="1"/>
    <col min="8" max="8" width="15" bestFit="1" customWidth="1"/>
    <col min="9" max="9" width="15.28515625" bestFit="1" customWidth="1"/>
    <col min="10" max="10" width="12.7109375" bestFit="1" customWidth="1"/>
    <col min="11" max="11" width="16.42578125" bestFit="1" customWidth="1"/>
    <col min="12" max="12" width="16.7109375" bestFit="1" customWidth="1"/>
    <col min="13" max="13" width="12.7109375" bestFit="1" customWidth="1"/>
    <col min="17" max="17" width="10" bestFit="1" customWidth="1"/>
  </cols>
  <sheetData>
    <row r="1" spans="1:18" x14ac:dyDescent="0.25">
      <c r="A1" t="s">
        <v>14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Q1" t="s">
        <v>17</v>
      </c>
      <c r="R1" t="s">
        <v>18</v>
      </c>
    </row>
    <row r="2" spans="1:18" x14ac:dyDescent="0.25">
      <c r="A2">
        <v>1920</v>
      </c>
      <c r="B2">
        <v>8.6156666666666695</v>
      </c>
      <c r="C2">
        <v>8.6156666666666695</v>
      </c>
      <c r="D2">
        <v>7.8542194768153903</v>
      </c>
      <c r="E2">
        <v>7.0461120680748399</v>
      </c>
      <c r="F2">
        <v>8.6737713398699903</v>
      </c>
      <c r="G2">
        <v>8.6156666666666695</v>
      </c>
      <c r="H2">
        <v>8.6156666666666695</v>
      </c>
      <c r="I2">
        <v>8.6156666666666695</v>
      </c>
      <c r="J2">
        <v>0.76144718985127902</v>
      </c>
      <c r="K2">
        <v>-5.8104673203326102E-2</v>
      </c>
      <c r="L2">
        <v>1.56955459859182</v>
      </c>
      <c r="M2">
        <v>0</v>
      </c>
      <c r="N2">
        <v>0</v>
      </c>
      <c r="O2">
        <v>0</v>
      </c>
      <c r="Q2">
        <f>ABS((D2 - B2) / D2)</f>
        <v>9.6947531463689021E-2</v>
      </c>
      <c r="R2">
        <f>AVERAGE(Q2:Q20)*100</f>
        <v>5.2355854517355374</v>
      </c>
    </row>
    <row r="3" spans="1:18" x14ac:dyDescent="0.25">
      <c r="A3">
        <v>1921</v>
      </c>
      <c r="B3">
        <v>9.0146666666666704</v>
      </c>
      <c r="C3">
        <v>17.630333333333301</v>
      </c>
      <c r="D3">
        <v>8.6989468348073302</v>
      </c>
      <c r="E3">
        <v>7.8415580069156396</v>
      </c>
      <c r="F3">
        <v>9.5056986562222896</v>
      </c>
      <c r="G3">
        <v>17.630333333333301</v>
      </c>
      <c r="H3">
        <v>17.630333333333301</v>
      </c>
      <c r="I3">
        <v>17.630333333333301</v>
      </c>
      <c r="J3">
        <v>0.315719831859337</v>
      </c>
      <c r="K3">
        <v>-0.491031989555619</v>
      </c>
      <c r="L3">
        <v>1.1731086597510301</v>
      </c>
      <c r="M3">
        <v>0</v>
      </c>
      <c r="N3">
        <v>0</v>
      </c>
      <c r="O3">
        <v>0</v>
      </c>
      <c r="Q3">
        <f t="shared" ref="Q3:Q20" si="0">ABS((D3 - B3) / D3)</f>
        <v>3.6294029364111288E-2</v>
      </c>
    </row>
    <row r="4" spans="1:18" x14ac:dyDescent="0.25">
      <c r="A4">
        <v>1922</v>
      </c>
      <c r="B4">
        <v>7.1759166666666703</v>
      </c>
      <c r="C4">
        <v>24.806249999999999</v>
      </c>
      <c r="D4">
        <v>8.20320716111301</v>
      </c>
      <c r="E4">
        <v>7.4322296229259797</v>
      </c>
      <c r="F4">
        <v>8.9369329565956797</v>
      </c>
      <c r="G4">
        <v>24.806249999999999</v>
      </c>
      <c r="H4">
        <v>24.806249999999999</v>
      </c>
      <c r="I4">
        <v>24.806249999999999</v>
      </c>
      <c r="J4">
        <v>-1.0272904944463399</v>
      </c>
      <c r="K4">
        <v>-1.76101628992901</v>
      </c>
      <c r="L4">
        <v>-0.25631295625931599</v>
      </c>
      <c r="M4">
        <v>0</v>
      </c>
      <c r="N4">
        <v>0</v>
      </c>
      <c r="O4">
        <v>0</v>
      </c>
      <c r="Q4">
        <f t="shared" si="0"/>
        <v>0.12523034884650616</v>
      </c>
    </row>
    <row r="5" spans="1:18" x14ac:dyDescent="0.25">
      <c r="A5">
        <v>1923</v>
      </c>
      <c r="B5">
        <v>7.98091666666667</v>
      </c>
      <c r="C5">
        <v>32.7871666666667</v>
      </c>
      <c r="D5">
        <v>8.1983847678528896</v>
      </c>
      <c r="E5">
        <v>7.4090007846674402</v>
      </c>
      <c r="F5">
        <v>8.8859210966187607</v>
      </c>
      <c r="G5">
        <v>32.7871666666667</v>
      </c>
      <c r="H5">
        <v>32.7871666666667</v>
      </c>
      <c r="I5">
        <v>32.7871666666667</v>
      </c>
      <c r="J5">
        <v>-0.21746810118622101</v>
      </c>
      <c r="K5">
        <v>-0.90500442995209296</v>
      </c>
      <c r="L5">
        <v>0.57191588199922905</v>
      </c>
      <c r="M5">
        <v>0</v>
      </c>
      <c r="N5">
        <v>0</v>
      </c>
      <c r="O5">
        <v>0</v>
      </c>
      <c r="Q5">
        <f t="shared" si="0"/>
        <v>2.6525725169541325E-2</v>
      </c>
    </row>
    <row r="6" spans="1:18" x14ac:dyDescent="0.25">
      <c r="A6">
        <v>1924</v>
      </c>
      <c r="B6">
        <v>7.5205000000000002</v>
      </c>
      <c r="C6">
        <v>40.307666666666698</v>
      </c>
      <c r="D6">
        <v>7.7748890949976301</v>
      </c>
      <c r="E6">
        <v>6.92711713792899</v>
      </c>
      <c r="F6">
        <v>8.5649100889749903</v>
      </c>
      <c r="G6">
        <v>40.307666666666698</v>
      </c>
      <c r="H6">
        <v>40.307666666666698</v>
      </c>
      <c r="I6">
        <v>40.307666666666698</v>
      </c>
      <c r="J6">
        <v>-0.25438909499763401</v>
      </c>
      <c r="K6">
        <v>-1.0444100889749901</v>
      </c>
      <c r="L6">
        <v>0.59338286207100899</v>
      </c>
      <c r="M6">
        <v>0</v>
      </c>
      <c r="N6">
        <v>0</v>
      </c>
      <c r="O6">
        <v>0</v>
      </c>
      <c r="Q6">
        <f t="shared" si="0"/>
        <v>3.2719321380584594E-2</v>
      </c>
    </row>
    <row r="7" spans="1:18" x14ac:dyDescent="0.25">
      <c r="A7">
        <v>1925</v>
      </c>
      <c r="B7">
        <v>8.2891666666666701</v>
      </c>
      <c r="C7">
        <v>48.596833333333301</v>
      </c>
      <c r="D7">
        <v>8.3522859210401599</v>
      </c>
      <c r="E7">
        <v>7.6532372173707603</v>
      </c>
      <c r="F7">
        <v>9.1811423442884497</v>
      </c>
      <c r="G7">
        <v>48.596833333333301</v>
      </c>
      <c r="H7">
        <v>48.596833333333301</v>
      </c>
      <c r="I7">
        <v>48.596833333333301</v>
      </c>
      <c r="J7">
        <v>-6.3119254373489794E-2</v>
      </c>
      <c r="K7">
        <v>-0.89197567762177998</v>
      </c>
      <c r="L7">
        <v>0.635929449295907</v>
      </c>
      <c r="M7">
        <v>0</v>
      </c>
      <c r="N7">
        <v>0</v>
      </c>
      <c r="O7">
        <v>0</v>
      </c>
      <c r="Q7">
        <f t="shared" si="0"/>
        <v>7.5571232798061511E-3</v>
      </c>
    </row>
    <row r="8" spans="1:18" x14ac:dyDescent="0.25">
      <c r="A8">
        <v>1926</v>
      </c>
      <c r="B8">
        <v>8.7204999999999995</v>
      </c>
      <c r="C8">
        <v>57.317333333333302</v>
      </c>
      <c r="D8">
        <v>8.4263585189794608</v>
      </c>
      <c r="E8">
        <v>7.6731922871185301</v>
      </c>
      <c r="F8">
        <v>9.1790903418255407</v>
      </c>
      <c r="G8">
        <v>57.317333333333302</v>
      </c>
      <c r="H8">
        <v>57.317333333333302</v>
      </c>
      <c r="I8">
        <v>57.317333333333302</v>
      </c>
      <c r="J8">
        <v>0.29414148102054199</v>
      </c>
      <c r="K8">
        <v>-0.45859034182554098</v>
      </c>
      <c r="L8">
        <v>1.0473077128814701</v>
      </c>
      <c r="M8">
        <v>0</v>
      </c>
      <c r="N8">
        <v>0</v>
      </c>
      <c r="O8">
        <v>0</v>
      </c>
      <c r="Q8">
        <f t="shared" si="0"/>
        <v>3.4907306680343218E-2</v>
      </c>
    </row>
    <row r="9" spans="1:18" x14ac:dyDescent="0.25">
      <c r="A9">
        <v>1927</v>
      </c>
      <c r="B9">
        <v>8.0801666666666705</v>
      </c>
      <c r="C9">
        <v>65.397499999999994</v>
      </c>
      <c r="D9">
        <v>8.1744093857192794</v>
      </c>
      <c r="E9">
        <v>7.4262701994870097</v>
      </c>
      <c r="F9">
        <v>8.9262734936010606</v>
      </c>
      <c r="G9">
        <v>65.397499999999994</v>
      </c>
      <c r="H9">
        <v>65.397499999999994</v>
      </c>
      <c r="I9">
        <v>65.397499999999994</v>
      </c>
      <c r="J9">
        <v>-9.42427190526125E-2</v>
      </c>
      <c r="K9">
        <v>-0.84610682693439498</v>
      </c>
      <c r="L9">
        <v>0.653896467179653</v>
      </c>
      <c r="M9">
        <v>0</v>
      </c>
      <c r="N9">
        <v>0</v>
      </c>
      <c r="O9">
        <v>0</v>
      </c>
      <c r="Q9">
        <f t="shared" si="0"/>
        <v>1.1528994280278071E-2</v>
      </c>
    </row>
    <row r="10" spans="1:18" x14ac:dyDescent="0.25">
      <c r="A10">
        <v>1928</v>
      </c>
      <c r="B10">
        <v>8.37158333333333</v>
      </c>
      <c r="C10">
        <v>73.769083333333299</v>
      </c>
      <c r="D10">
        <v>8.2682360715891292</v>
      </c>
      <c r="E10">
        <v>7.4832108433014701</v>
      </c>
      <c r="F10">
        <v>9.02146031930587</v>
      </c>
      <c r="G10">
        <v>73.769083333333299</v>
      </c>
      <c r="H10">
        <v>73.769083333333299</v>
      </c>
      <c r="I10">
        <v>73.769083333333299</v>
      </c>
      <c r="J10">
        <v>0.103347261744203</v>
      </c>
      <c r="K10">
        <v>-0.64987698597253496</v>
      </c>
      <c r="L10">
        <v>0.88837249003185903</v>
      </c>
      <c r="M10">
        <v>0</v>
      </c>
      <c r="N10">
        <v>0</v>
      </c>
      <c r="O10">
        <v>0</v>
      </c>
      <c r="Q10">
        <f t="shared" si="0"/>
        <v>1.2499311926919597E-2</v>
      </c>
    </row>
    <row r="11" spans="1:18" x14ac:dyDescent="0.25">
      <c r="A11">
        <v>1929</v>
      </c>
      <c r="B11">
        <v>7.4065833333333302</v>
      </c>
      <c r="C11">
        <v>81.1756666666667</v>
      </c>
      <c r="D11">
        <v>8.0072427028744002</v>
      </c>
      <c r="E11">
        <v>7.2533696316342597</v>
      </c>
      <c r="F11">
        <v>8.6992782121949208</v>
      </c>
      <c r="G11">
        <v>81.1756666666667</v>
      </c>
      <c r="H11">
        <v>81.1756666666667</v>
      </c>
      <c r="I11">
        <v>81.1756666666667</v>
      </c>
      <c r="J11">
        <v>-0.60065936954106303</v>
      </c>
      <c r="K11">
        <v>-1.29269487886159</v>
      </c>
      <c r="L11">
        <v>0.15321370169907</v>
      </c>
      <c r="M11">
        <v>0</v>
      </c>
      <c r="N11">
        <v>0</v>
      </c>
      <c r="O11">
        <v>0</v>
      </c>
      <c r="Q11">
        <f t="shared" si="0"/>
        <v>7.5014507718799167E-2</v>
      </c>
    </row>
    <row r="12" spans="1:18" x14ac:dyDescent="0.25">
      <c r="A12">
        <v>1930</v>
      </c>
      <c r="B12">
        <v>8.7827500000000001</v>
      </c>
      <c r="C12">
        <v>89.958416666666693</v>
      </c>
      <c r="D12">
        <v>8.1859390396787592</v>
      </c>
      <c r="E12">
        <v>7.4579046692705599</v>
      </c>
      <c r="F12">
        <v>8.89118471731169</v>
      </c>
      <c r="G12">
        <v>89.958416666666693</v>
      </c>
      <c r="H12">
        <v>89.958416666666693</v>
      </c>
      <c r="I12">
        <v>89.958416666666693</v>
      </c>
      <c r="J12">
        <v>0.59681096032123504</v>
      </c>
      <c r="K12">
        <v>-0.108434717311694</v>
      </c>
      <c r="L12">
        <v>1.3248453307294401</v>
      </c>
      <c r="M12">
        <v>0</v>
      </c>
      <c r="N12">
        <v>0</v>
      </c>
      <c r="O12">
        <v>0</v>
      </c>
      <c r="Q12">
        <f t="shared" si="0"/>
        <v>7.2906841527696192E-2</v>
      </c>
    </row>
    <row r="13" spans="1:18" x14ac:dyDescent="0.25">
      <c r="A13">
        <v>1931</v>
      </c>
      <c r="B13">
        <v>7.5957499999999998</v>
      </c>
      <c r="C13">
        <v>97.554166666666703</v>
      </c>
      <c r="D13">
        <v>8.6790353904095703</v>
      </c>
      <c r="E13">
        <v>7.8711928676805396</v>
      </c>
      <c r="F13">
        <v>9.4974083248029597</v>
      </c>
      <c r="G13">
        <v>97.554166666666703</v>
      </c>
      <c r="H13">
        <v>97.554166666666703</v>
      </c>
      <c r="I13">
        <v>97.554166666666703</v>
      </c>
      <c r="J13">
        <v>-1.0832853904095701</v>
      </c>
      <c r="K13">
        <v>-1.9016583248029599</v>
      </c>
      <c r="L13">
        <v>-0.27544286768053999</v>
      </c>
      <c r="M13">
        <v>0</v>
      </c>
      <c r="N13">
        <v>0</v>
      </c>
      <c r="O13">
        <v>0</v>
      </c>
      <c r="Q13">
        <f t="shared" si="0"/>
        <v>0.12481633518934751</v>
      </c>
    </row>
    <row r="14" spans="1:18" x14ac:dyDescent="0.25">
      <c r="A14">
        <v>1932</v>
      </c>
      <c r="B14">
        <v>8.3531666666666702</v>
      </c>
      <c r="C14">
        <v>105.907333333333</v>
      </c>
      <c r="D14">
        <v>8.0679932121268703</v>
      </c>
      <c r="E14">
        <v>7.2820850526954501</v>
      </c>
      <c r="F14">
        <v>8.8684955971918402</v>
      </c>
      <c r="G14">
        <v>105.907333333333</v>
      </c>
      <c r="H14">
        <v>105.907333333333</v>
      </c>
      <c r="I14">
        <v>105.907333333333</v>
      </c>
      <c r="J14">
        <v>0.28517345453979598</v>
      </c>
      <c r="K14">
        <v>-0.51532893052517503</v>
      </c>
      <c r="L14">
        <v>1.07108161397122</v>
      </c>
      <c r="M14">
        <v>0</v>
      </c>
      <c r="N14">
        <v>0</v>
      </c>
      <c r="O14">
        <v>0</v>
      </c>
      <c r="Q14">
        <f t="shared" si="0"/>
        <v>3.5346268525754371E-2</v>
      </c>
    </row>
    <row r="15" spans="1:18" x14ac:dyDescent="0.25">
      <c r="A15">
        <v>1933</v>
      </c>
      <c r="B15">
        <v>7.7037500000000003</v>
      </c>
      <c r="C15">
        <v>113.611083333333</v>
      </c>
      <c r="D15">
        <v>8.3623570071523101</v>
      </c>
      <c r="E15">
        <v>7.5657712036619298</v>
      </c>
      <c r="F15">
        <v>9.0353645467476902</v>
      </c>
      <c r="G15">
        <v>113.611083333333</v>
      </c>
      <c r="H15">
        <v>113.611083333333</v>
      </c>
      <c r="I15">
        <v>113.611083333333</v>
      </c>
      <c r="J15">
        <v>-0.65860700715231302</v>
      </c>
      <c r="K15">
        <v>-1.3316145467476901</v>
      </c>
      <c r="L15">
        <v>0.13797879633806601</v>
      </c>
      <c r="M15">
        <v>0</v>
      </c>
      <c r="N15">
        <v>0</v>
      </c>
      <c r="O15">
        <v>0</v>
      </c>
      <c r="Q15">
        <f t="shared" si="0"/>
        <v>7.8758537406260501E-2</v>
      </c>
    </row>
    <row r="16" spans="1:18" x14ac:dyDescent="0.25">
      <c r="A16">
        <v>1934</v>
      </c>
      <c r="B16">
        <v>9.5696666666666701</v>
      </c>
      <c r="C16">
        <v>123.18075</v>
      </c>
      <c r="D16">
        <v>8.8395656178142907</v>
      </c>
      <c r="E16">
        <v>7.9520123258111797</v>
      </c>
      <c r="F16">
        <v>9.6921143313429301</v>
      </c>
      <c r="G16">
        <v>123.18075</v>
      </c>
      <c r="H16">
        <v>123.18075</v>
      </c>
      <c r="I16">
        <v>123.18075</v>
      </c>
      <c r="J16">
        <v>0.73010104885237803</v>
      </c>
      <c r="K16">
        <v>-0.122447664676265</v>
      </c>
      <c r="L16">
        <v>1.61765434085549</v>
      </c>
      <c r="M16">
        <v>0</v>
      </c>
      <c r="N16">
        <v>0</v>
      </c>
      <c r="O16">
        <v>0</v>
      </c>
      <c r="Q16">
        <f t="shared" si="0"/>
        <v>8.2594674944322349E-2</v>
      </c>
    </row>
    <row r="17" spans="1:18" x14ac:dyDescent="0.25">
      <c r="A17">
        <v>1935</v>
      </c>
      <c r="B17">
        <v>8.4716666666666693</v>
      </c>
      <c r="C17">
        <v>131.65241666666699</v>
      </c>
      <c r="D17">
        <v>8.1908217486820796</v>
      </c>
      <c r="E17">
        <v>7.4844225040082701</v>
      </c>
      <c r="F17">
        <v>8.9629757300070008</v>
      </c>
      <c r="G17">
        <v>131.65241666666699</v>
      </c>
      <c r="H17">
        <v>131.65241666666699</v>
      </c>
      <c r="I17">
        <v>131.65241666666699</v>
      </c>
      <c r="J17">
        <v>0.28084491798459199</v>
      </c>
      <c r="K17">
        <v>-0.49130906334032798</v>
      </c>
      <c r="L17">
        <v>0.98724416265839499</v>
      </c>
      <c r="M17">
        <v>0</v>
      </c>
      <c r="N17">
        <v>0</v>
      </c>
      <c r="O17">
        <v>0</v>
      </c>
      <c r="Q17">
        <f t="shared" si="0"/>
        <v>3.4287758493801709E-2</v>
      </c>
    </row>
    <row r="18" spans="1:18" x14ac:dyDescent="0.25">
      <c r="A18">
        <v>1936</v>
      </c>
      <c r="B18">
        <v>8.4764166666666707</v>
      </c>
      <c r="C18">
        <v>140.12883333333301</v>
      </c>
      <c r="D18">
        <v>8.2986230121986893</v>
      </c>
      <c r="E18">
        <v>7.5442643033265604</v>
      </c>
      <c r="F18">
        <v>9.0991662030910891</v>
      </c>
      <c r="G18">
        <v>140.12883333333301</v>
      </c>
      <c r="H18">
        <v>140.12883333333301</v>
      </c>
      <c r="I18">
        <v>140.12883333333301</v>
      </c>
      <c r="J18">
        <v>0.17779365446797599</v>
      </c>
      <c r="K18">
        <v>-0.62274953642442699</v>
      </c>
      <c r="L18">
        <v>0.93215236334010998</v>
      </c>
      <c r="M18">
        <v>0</v>
      </c>
      <c r="N18">
        <v>0</v>
      </c>
      <c r="O18">
        <v>0</v>
      </c>
      <c r="Q18">
        <f t="shared" si="0"/>
        <v>2.1424476591674416E-2</v>
      </c>
    </row>
    <row r="19" spans="1:18" x14ac:dyDescent="0.25">
      <c r="A19">
        <v>1937</v>
      </c>
      <c r="B19">
        <v>8.7119166666666707</v>
      </c>
      <c r="C19">
        <v>148.84075000000001</v>
      </c>
      <c r="D19">
        <v>8.1841733039826003</v>
      </c>
      <c r="E19">
        <v>7.4824039654361796</v>
      </c>
      <c r="F19">
        <v>8.9480730806905502</v>
      </c>
      <c r="G19">
        <v>148.84075000000001</v>
      </c>
      <c r="H19">
        <v>148.84075000000001</v>
      </c>
      <c r="I19">
        <v>148.84075000000001</v>
      </c>
      <c r="J19">
        <v>0.52774336268407196</v>
      </c>
      <c r="K19">
        <v>-0.23615641402388499</v>
      </c>
      <c r="L19">
        <v>1.2295127012304901</v>
      </c>
      <c r="M19">
        <v>0</v>
      </c>
      <c r="N19">
        <v>0</v>
      </c>
      <c r="O19">
        <v>0</v>
      </c>
      <c r="Q19">
        <f t="shared" si="0"/>
        <v>6.4483405114021564E-2</v>
      </c>
    </row>
    <row r="20" spans="1:18" x14ac:dyDescent="0.25">
      <c r="A20">
        <v>1938</v>
      </c>
      <c r="B20">
        <v>8.80833333333333</v>
      </c>
      <c r="C20">
        <v>157.64908333333301</v>
      </c>
      <c r="D20">
        <v>8.6278496085055192</v>
      </c>
      <c r="E20">
        <v>7.8094165548494798</v>
      </c>
      <c r="F20">
        <v>9.3921596403765708</v>
      </c>
      <c r="G20">
        <v>157.468599608506</v>
      </c>
      <c r="H20">
        <v>156.65016655484899</v>
      </c>
      <c r="I20">
        <v>158.23290964037699</v>
      </c>
      <c r="J20">
        <v>0.180483724827811</v>
      </c>
      <c r="K20">
        <v>-0.58382630704323901</v>
      </c>
      <c r="L20">
        <v>0.99891677848385296</v>
      </c>
      <c r="M20">
        <v>0.18048372482778099</v>
      </c>
      <c r="N20">
        <v>-0.58382630704326699</v>
      </c>
      <c r="O20">
        <v>0.99891677848384597</v>
      </c>
      <c r="Q20">
        <f t="shared" si="0"/>
        <v>2.0918737926294648E-2</v>
      </c>
    </row>
    <row r="21" spans="1:18" x14ac:dyDescent="0.25">
      <c r="A21" t="s">
        <v>16</v>
      </c>
    </row>
    <row r="22" spans="1:18" x14ac:dyDescent="0.25">
      <c r="A22">
        <v>1939</v>
      </c>
      <c r="B22">
        <v>8.4521666666666704</v>
      </c>
      <c r="C22">
        <v>166.10124999999999</v>
      </c>
      <c r="D22">
        <v>8.5292012263866592</v>
      </c>
      <c r="E22">
        <v>7.7623892565760197</v>
      </c>
      <c r="F22">
        <v>9.2668299167053796</v>
      </c>
      <c r="G22">
        <v>165.99780083489199</v>
      </c>
      <c r="H22">
        <v>164.70805425607799</v>
      </c>
      <c r="I22">
        <v>167.095346621879</v>
      </c>
      <c r="J22">
        <v>-7.7034559719990597E-2</v>
      </c>
      <c r="K22">
        <v>-0.81466325003871298</v>
      </c>
      <c r="L22">
        <v>0.68977741009064497</v>
      </c>
      <c r="M22">
        <v>0.103449165107804</v>
      </c>
      <c r="N22">
        <v>-0.99409662187866799</v>
      </c>
      <c r="O22">
        <v>1.3931957439217499</v>
      </c>
    </row>
    <row r="23" spans="1:18" x14ac:dyDescent="0.25">
      <c r="A23">
        <v>1940</v>
      </c>
      <c r="B23">
        <v>6.6250833333333299</v>
      </c>
      <c r="C23">
        <v>172.726333333333</v>
      </c>
      <c r="D23">
        <v>8.4031378488141293</v>
      </c>
      <c r="E23">
        <v>7.6448634120135903</v>
      </c>
      <c r="F23">
        <v>9.2105378982806201</v>
      </c>
      <c r="G23">
        <v>174.40093868370599</v>
      </c>
      <c r="H23">
        <v>172.81188896032799</v>
      </c>
      <c r="I23">
        <v>175.843834900611</v>
      </c>
      <c r="J23">
        <v>-1.7780545154808001</v>
      </c>
      <c r="K23">
        <v>-2.58545456494728</v>
      </c>
      <c r="L23">
        <v>-1.01978007868025</v>
      </c>
      <c r="M23">
        <v>-1.6746053503729901</v>
      </c>
      <c r="N23">
        <v>-3.11750156727794</v>
      </c>
      <c r="O23">
        <v>-8.5555626994676004E-2</v>
      </c>
      <c r="R23">
        <f>D23-B23</f>
        <v>1.7780545154807994</v>
      </c>
    </row>
    <row r="24" spans="1:18" x14ac:dyDescent="0.25">
      <c r="A24">
        <v>1941</v>
      </c>
      <c r="B24">
        <v>7.1395833333333298</v>
      </c>
      <c r="C24">
        <v>179.865916666667</v>
      </c>
      <c r="D24">
        <v>8.5043182558158996</v>
      </c>
      <c r="E24">
        <v>7.6820855870333098</v>
      </c>
      <c r="F24">
        <v>9.2766251486690106</v>
      </c>
      <c r="G24">
        <v>182.90525693952199</v>
      </c>
      <c r="H24">
        <v>181.08998005957901</v>
      </c>
      <c r="I24">
        <v>184.58789788047099</v>
      </c>
      <c r="J24">
        <v>-1.36473492248257</v>
      </c>
      <c r="K24">
        <v>-2.1370418153356798</v>
      </c>
      <c r="L24">
        <v>-0.54250225369997795</v>
      </c>
      <c r="M24">
        <v>-3.0393402728555801</v>
      </c>
      <c r="N24">
        <v>-4.7219812138045798</v>
      </c>
      <c r="O24">
        <v>-1.2240633929123701</v>
      </c>
    </row>
    <row r="25" spans="1:18" x14ac:dyDescent="0.25">
      <c r="A25">
        <v>1942</v>
      </c>
      <c r="B25">
        <v>7.2385000000000002</v>
      </c>
      <c r="C25">
        <v>187.10441666666699</v>
      </c>
      <c r="D25">
        <v>8.2967104427961296</v>
      </c>
      <c r="E25">
        <v>7.6003338641699898</v>
      </c>
      <c r="F25">
        <v>8.9938602739573703</v>
      </c>
      <c r="G25">
        <v>191.201967382318</v>
      </c>
      <c r="H25">
        <v>189.11856497853699</v>
      </c>
      <c r="I25">
        <v>193.05122738749401</v>
      </c>
      <c r="J25">
        <v>-1.0582104427961301</v>
      </c>
      <c r="K25">
        <v>-1.7553602739573699</v>
      </c>
      <c r="L25">
        <v>-0.36183386416999003</v>
      </c>
      <c r="M25">
        <v>-4.0975507156516597</v>
      </c>
      <c r="N25">
        <v>-5.9468107208275898</v>
      </c>
      <c r="O25">
        <v>-2.0141483118699699</v>
      </c>
    </row>
    <row r="26" spans="1:18" x14ac:dyDescent="0.25">
      <c r="A26">
        <v>1943</v>
      </c>
      <c r="B26">
        <v>8.9215</v>
      </c>
      <c r="C26">
        <v>196.025916666667</v>
      </c>
      <c r="D26">
        <v>8.3472613529933799</v>
      </c>
      <c r="E26">
        <v>7.5571934312707301</v>
      </c>
      <c r="F26">
        <v>9.0894554621152004</v>
      </c>
      <c r="G26">
        <v>199.549228735312</v>
      </c>
      <c r="H26">
        <v>197.15284865037199</v>
      </c>
      <c r="I26">
        <v>201.65351487670401</v>
      </c>
      <c r="J26">
        <v>0.57423864700661797</v>
      </c>
      <c r="K26">
        <v>-0.16795546211519899</v>
      </c>
      <c r="L26">
        <v>1.3643065687292699</v>
      </c>
      <c r="M26">
        <v>-3.5233120686450801</v>
      </c>
      <c r="N26">
        <v>-5.6275982100371804</v>
      </c>
      <c r="O26">
        <v>-1.1269319837057299</v>
      </c>
    </row>
    <row r="27" spans="1:18" x14ac:dyDescent="0.25">
      <c r="A27">
        <v>1944</v>
      </c>
      <c r="B27">
        <v>8.3175833333333298</v>
      </c>
      <c r="C27">
        <v>204.34350000000001</v>
      </c>
      <c r="D27">
        <v>8.2843084031166097</v>
      </c>
      <c r="E27">
        <v>7.5092004345919996</v>
      </c>
      <c r="F27">
        <v>9.0092303928516007</v>
      </c>
      <c r="G27">
        <v>207.833537138428</v>
      </c>
      <c r="H27">
        <v>205.28730579566999</v>
      </c>
      <c r="I27">
        <v>210.19719305801101</v>
      </c>
      <c r="J27">
        <v>3.3274930216718297E-2</v>
      </c>
      <c r="K27">
        <v>-0.691647059518262</v>
      </c>
      <c r="L27">
        <v>0.80838289874133396</v>
      </c>
      <c r="M27">
        <v>-3.4900371384283599</v>
      </c>
      <c r="N27">
        <v>-5.8536930580114603</v>
      </c>
      <c r="O27">
        <v>-0.94380579567024403</v>
      </c>
    </row>
    <row r="28" spans="1:18" x14ac:dyDescent="0.25">
      <c r="A28">
        <v>1945</v>
      </c>
      <c r="B28">
        <v>8.9004999999999992</v>
      </c>
      <c r="C28">
        <v>213.244</v>
      </c>
      <c r="D28">
        <v>8.1485188879954809</v>
      </c>
      <c r="E28">
        <v>7.3938938150545397</v>
      </c>
      <c r="F28">
        <v>8.9100539202058808</v>
      </c>
      <c r="G28">
        <v>215.982056026424</v>
      </c>
      <c r="H28">
        <v>213.208263441817</v>
      </c>
      <c r="I28">
        <v>218.525010272744</v>
      </c>
      <c r="J28">
        <v>0.751981112004524</v>
      </c>
      <c r="K28">
        <v>-9.5539202058798605E-3</v>
      </c>
      <c r="L28">
        <v>1.5066061849454599</v>
      </c>
      <c r="M28">
        <v>-2.7380560264238301</v>
      </c>
      <c r="N28">
        <v>-5.28101027274354</v>
      </c>
      <c r="O28">
        <v>3.5736558183032202E-2</v>
      </c>
    </row>
    <row r="29" spans="1:18" x14ac:dyDescent="0.25">
      <c r="A29">
        <v>1946</v>
      </c>
      <c r="B29">
        <v>8.3833333333333293</v>
      </c>
      <c r="C29">
        <v>221.62733333333301</v>
      </c>
      <c r="D29">
        <v>8.4528466716391097</v>
      </c>
      <c r="E29">
        <v>7.6428606082983697</v>
      </c>
      <c r="F29">
        <v>9.2030034266015495</v>
      </c>
      <c r="G29">
        <v>224.43490269806301</v>
      </c>
      <c r="H29">
        <v>221.39406702703201</v>
      </c>
      <c r="I29">
        <v>227.27304965718201</v>
      </c>
      <c r="J29" t="s">
        <v>13</v>
      </c>
      <c r="K29" t="s">
        <v>13</v>
      </c>
      <c r="L29" t="s">
        <v>13</v>
      </c>
      <c r="M29" t="s">
        <v>13</v>
      </c>
      <c r="N29" t="s">
        <v>13</v>
      </c>
      <c r="O2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</dc:creator>
  <cp:lastModifiedBy>Rose, Blake Andrew</cp:lastModifiedBy>
  <dcterms:created xsi:type="dcterms:W3CDTF">2025-04-24T02:23:19Z</dcterms:created>
  <dcterms:modified xsi:type="dcterms:W3CDTF">2025-04-26T17:42:32Z</dcterms:modified>
</cp:coreProperties>
</file>